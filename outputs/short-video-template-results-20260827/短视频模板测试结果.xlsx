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9a196cb69b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a0d04be738d34579"/>
    <x:sheet xmlns:r="http://schemas.openxmlformats.org/officeDocument/2006/relationships" name="最终提示词" sheetId="2" r:id="R0eae8fab91874645"/>
    <x:sheet xmlns:r="http://schemas.openxmlformats.org/officeDocument/2006/relationships" name="费用与验证" sheetId="3" r:id="R9dbb31b2c5614852"/>
    <x:sheet xmlns:r="http://schemas.openxmlformats.org/officeDocument/2006/relationships" name="问题清单" sheetId="4" r:id="R90668d18505049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0.00000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260"/>
      <x:name val="Carlito"/>
    </x:font>
    <x:font>
      <x:b/>
      <x:sz val="11"/>
      <x:color rgb="FFFFFFFF"/>
      <x:name val="Carlito"/>
    </x:font>
    <x:font>
      <x:b/>
      <x:sz val="11"/>
      <x:color rgb="FF536653"/>
      <x:name val="Carlito"/>
    </x:font>
    <x:font>
      <x:b/>
      <x:sz val="11"/>
      <x:name val="Carlito"/>
    </x:font>
    <x:font>
      <x:b/>
      <x:sz val="11"/>
      <x:color rgb="FF756243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3D4948"/>
      </x:patternFill>
    </x:fill>
    <x:fill>
      <x:patternFill patternType="solid">
        <x:fgColor rgb="FFECEAE4"/>
      </x:patternFill>
    </x:fill>
    <x:fill>
      <x:patternFill patternType="solid">
        <x:fgColor rgb="FF697472"/>
      </x:patternFill>
    </x:fill>
    <x:fill>
      <x:patternFill patternType="solid">
        <x:fgColor rgb="FFE1E7DF"/>
      </x:patternFill>
    </x:fill>
    <x:fill>
      <x:patternFill patternType="solid">
        <x:fgColor rgb="FFF5F3EE"/>
      </x:patternFill>
    </x:fill>
    <x:fill>
      <x:patternFill patternType="solid">
        <x:fgColor rgb="FFEBEEEB"/>
      </x:patternFill>
    </x:fill>
    <x:fill>
      <x:patternFill patternType="solid">
        <x:fgColor rgb="FFE8E5DE"/>
      </x:patternFill>
    </x:fill>
    <x:fill>
      <x:patternFill patternType="solid">
        <x:fgColor rgb="FFEEE6D7"/>
      </x:patternFill>
    </x:fill>
  </x:fills>
  <x:borders count="5">
    <x:border/>
    <x:border>
      <x:left style="thin">
        <x:color rgb="FFD5D1C8"/>
      </x:left>
      <x:top style="thin">
        <x:color rgb="FFD5D1C8"/>
      </x:top>
      <x:bottom style="thin">
        <x:color rgb="FFD5D1C8"/>
      </x:bottom>
    </x:border>
    <x:border>
      <x:top style="thin">
        <x:color rgb="FFD5D1C8"/>
      </x:top>
      <x:bottom style="thin">
        <x:color rgb="FFD5D1C8"/>
      </x:bottom>
    </x:border>
    <x:border>
      <x:right style="thin">
        <x:color rgb="FFD5D1C8"/>
      </x:right>
      <x:top style="thin">
        <x:color rgb="FFD5D1C8"/>
      </x:top>
      <x:bottom style="thin">
        <x:color rgb="FFD5D1C8"/>
      </x:bottom>
    </x:border>
    <x:border>
      <x:left style="thin">
        <x:color rgb="FFD5D1C8"/>
      </x:left>
      <x:right style="thin">
        <x:color rgb="FFD5D1C8"/>
      </x:right>
      <x:top style="thin">
        <x:color rgb="FFD5D1C8"/>
      </x:top>
      <x:bottom style="thin">
        <x:color rgb="FFD5D1C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4" xfId="0" applyNumberFormat="1" applyFont="1" applyFill="1" applyBorder="1" applyAlignment="1">
      <x:alignment vertical="top" wrapText="1"/>
    </x:xf>
    <x:xf numFmtId="200" fontId="0" fillId="6" borderId="4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horizontal="center"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200" fontId="0" fillId="7" borderId="4" xfId="0" applyNumberFormat="1" applyFont="1" applyFill="1" applyBorder="1" applyAlignment="1">
      <x:alignment vertical="top" wrapText="1"/>
    </x:xf>
    <x:xf numFmtId="0" fontId="4" fillId="7" borderId="4" xfId="0" applyNumberFormat="1" applyFont="1" applyFill="1" applyBorder="1" applyAlignment="1">
      <x:alignment horizontal="center"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1" fontId="0" fillId="0" borderId="0" xfId="0" applyNumberFormat="1" applyFont="1" applyFill="1" applyBorder="1"/>
    <x:xf numFmtId="0" fontId="5" fillId="8" borderId="4" xfId="0" applyNumberFormat="1" applyFont="1" applyFill="1" applyBorder="1"/>
    <x:xf numFmtId="201" fontId="0" fillId="0" borderId="1" xfId="0" applyNumberFormat="1" applyFont="1" applyFill="1" applyBorder="1"/>
    <x:xf numFmtId="0" fontId="0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6" fillId="9" borderId="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805B56"/>
      </x:font>
      <x:fill>
        <x:patternFill patternType="solid">
          <x:bgColor rgb="FFE9DEDC"/>
        </x:patternFill>
      </x:fill>
    </x:dxf>
    <x:dxf>
      <x:font>
        <x:b/>
        <x:color rgb="FF756243"/>
      </x:font>
      <x:fill>
        <x:patternFill patternType="solid">
          <x:bgColor rgb="FFEEE6D7"/>
        </x:patternFill>
      </x:fill>
    </x:dxf>
    <x:dxf>
      <x:font>
        <x:b/>
        <x:color rgb="FF536653"/>
      </x:font>
      <x:fill>
        <x:patternFill patternType="solid">
          <x:bgColor rgb="FFE1E7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be13edf87424a" /><Relationship Type="http://schemas.openxmlformats.org/officeDocument/2006/relationships/theme" Target="/xl/theme/theme1.xml" Id="R751db70d44e54b78" /><Relationship Type="http://schemas.openxmlformats.org/officeDocument/2006/relationships/sharedStrings" Target="/xl/sharedStrings.xml" Id="R88a36dac64aa4aba" /><Relationship Type="http://schemas.openxmlformats.org/officeDocument/2006/relationships/worksheet" Target="/xl/worksheets/sheet1.xml" Id="Ra0d04be738d34579" /><Relationship Type="http://schemas.openxmlformats.org/officeDocument/2006/relationships/worksheet" Target="/xl/worksheets/sheet2.xml" Id="R0eae8fab91874645" /><Relationship Type="http://schemas.openxmlformats.org/officeDocument/2006/relationships/worksheet" Target="/xl/worksheets/sheet3.xml" Id="R9dbb31b2c5614852" /><Relationship Type="http://schemas.openxmlformats.org/officeDocument/2006/relationships/worksheet" Target="/xl/worksheets/sheet4.xml" Id="R90668d18505049ce" /></Relationships>
</file>

<file path=xl/tables/table1.xml><?xml version="1.0" encoding="utf-8"?>
<x:table xmlns:x="http://schemas.openxmlformats.org/spreadsheetml/2006/main" id="1" name="TemplateOverviewTable" displayName="TemplateOverviewTable" ref="A4:F11" headerRowCount="1" totalsRowCount="0" totalsRowShown="0">
  <x:tableColumns count="6">
    <x:tableColumn id="1" name="模板"/>
    <x:tableColumn id="2" name="触发 Skill"/>
    <x:tableColumn id="3" name="初始提示词"/>
    <x:tableColumn id="4" name="最终提示词数"/>
    <x:tableColumn id="5" name="状态"/>
    <x:tableColumn id="6" name="测试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nalPromptsTable" displayName="FinalPromptsTable" ref="A4:E24" headerRowCount="1" totalsRowCount="0" totalsRowShown="0">
  <x:tableColumns count="5">
    <x:tableColumn id="1" name="模板"/>
    <x:tableColumn id="2" name="触发 Skill"/>
    <x:tableColumn id="3" name="镜头序号"/>
    <x:tableColumn id="4" name="资产类型"/>
    <x:tableColumn id="5" name="最终提示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mptIssuesTable" displayName="PromptIssuesTable" ref="A4:D12" headerRowCount="1" totalsRowCount="0" totalsRowShown="0">
  <x:tableColumns count="4">
    <x:tableColumn id="1" name="模板"/>
    <x:tableColumn id="2" name="严重度"/>
    <x:tableColumn id="3" name="发现"/>
    <x:tableColumn id="4" name="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5d8dfb3a1c4c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48fd03371d2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1ff2ffc03a43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58" hidden="0" customWidth="1"/>
    <x:col min="4" max="4" width="15" hidden="0" customWidth="1"/>
    <x:col min="5" max="5" width="12" hidden="0" customWidth="1"/>
    <x:col min="6" max="6" width="34" hidden="0" customWidth="1"/>
  </x:cols>
  <x:sheetData>
    <x:row r="1" ht="30" customHeight="1">
      <x:c r="A1" s="3" t="str">
        <x:v>短视频模板测试结果</x:v>
      </x:c>
      <x:c r="B1" s="3" t="str">
        <x:v>短视频模板测试结果</x:v>
      </x:c>
      <x:c r="C1" s="3" t="str">
        <x:v>短视频模板测试结果</x:v>
      </x:c>
      <x:c r="D1" s="3" t="str">
        <x:v>短视频模板测试结果</x:v>
      </x:c>
      <x:c r="E1" s="3" t="str">
        <x:v>短视频模板测试结果</x:v>
      </x:c>
      <x:c r="F1" s="3" t="str">
        <x:v>短视频模板测试结果</x:v>
      </x:c>
    </x:row>
    <x:row r="2" ht="24" customHeight="1">
      <x:c r="A2" s="6" t="str">
        <x:v>真实文本模型双阶段规划；测试止于视频生成前，未生成或入队任何媒体。测试时间：2026-08-27</x:v>
      </x:c>
      <x:c r="B2" s="6" t="str">
        <x:v>真实文本模型双阶段规划；测试止于视频生成前，未生成或入队任何媒体。测试时间：2026-08-27</x:v>
      </x:c>
      <x:c r="C2" s="6" t="str">
        <x:v>真实文本模型双阶段规划；测试止于视频生成前，未生成或入队任何媒体。测试时间：2026-08-27</x:v>
      </x:c>
      <x:c r="D2" s="6" t="str">
        <x:v>真实文本模型双阶段规划；测试止于视频生成前，未生成或入队任何媒体。测试时间：2026-08-27</x:v>
      </x:c>
      <x:c r="E2" s="6" t="str">
        <x:v>真实文本模型双阶段规划；测试止于视频生成前，未生成或入队任何媒体。测试时间：2026-08-27</x:v>
      </x:c>
      <x:c r="F2" s="6" t="str">
        <x:v>真实文本模型双阶段规划；测试止于视频生成前，未生成或入队任何媒体。测试时间：2026-08-27</x:v>
      </x:c>
    </x:row>
    <x:row r="4" ht="28" customHeight="1">
      <x:c r="A4" s="24" t="str">
        <x:v>模板</x:v>
      </x:c>
      <x:c r="B4" s="24" t="str">
        <x:v>触发 Skill</x:v>
      </x:c>
      <x:c r="C4" s="24" t="str">
        <x:v>初始提示词</x:v>
      </x:c>
      <x:c r="D4" s="24" t="str">
        <x:v>最终提示词数</x:v>
      </x:c>
      <x:c r="E4" s="24" t="str">
        <x:v>状态</x:v>
      </x:c>
      <x:c r="F4" s="24" t="str">
        <x:v>测试备注</x:v>
      </x:c>
    </x:row>
    <x:row r="5" ht="58" customHeight="1">
      <x:c r="A5" s="29" t="str">
        <x:v>电商模特换装</x:v>
      </x:c>
      <x:c r="B5" s="29" t="str">
        <x:v>short-video-fashion-outfit-change</x:v>
      </x:c>
      <x:c r="C5" s="29" t="str">
        <x:v>生成一条16秒电商模特换装视频，使用模板默认人物、酒店内景、四套造型顺序和抖音快节奏。</x:v>
      </x:c>
      <x:c r="D5" s="30" t="n">
        <x:v>4</x:v>
      </x:c>
      <x:c r="E5" s="27" t="str">
        <x:v>通过</x:v>
      </x:c>
      <x:c r="F5" s="32" t="str">
        <x:v>触发正确；存在地点与标识扩写</x:v>
      </x:c>
    </x:row>
    <x:row r="6" ht="58" customHeight="1">
      <x:c r="A6" s="33" t="str">
        <x:v>口播视频</x:v>
      </x:c>
      <x:c r="B6" s="33" t="str">
        <x:v>short-video-talking-head</x:v>
      </x:c>
      <x:c r="C6" s="33" t="str">
        <x:v>生成一条15秒办公室真人口播视频，使用模板默认人物、构图、灯光和动作。</x:v>
      </x:c>
      <x:c r="D6" s="34" t="n">
        <x:v>1</x:v>
      </x:c>
      <x:c r="E6" s="27" t="str">
        <x:v>通过</x:v>
      </x:c>
      <x:c r="F6" s="36" t="str">
        <x:v>触发正确；存在地点扩写</x:v>
      </x:c>
    </x:row>
    <x:row r="7" ht="58" customHeight="1">
      <x:c r="A7" s="29" t="str">
        <x:v>探店视频</x:v>
      </x:c>
      <x:c r="B7" s="29" t="str">
        <x:v>short-video-store-visit</x:v>
      </x:c>
      <x:c r="C7" s="29" t="str">
        <x:v>生成一条12秒美食探店视频，使用模板默认三镜头、中文旁白、音效和背景音乐，不要字幕。</x:v>
      </x:c>
      <x:c r="D7" s="30" t="n">
        <x:v>3</x:v>
      </x:c>
      <x:c r="E7" s="27" t="str">
        <x:v>通过</x:v>
      </x:c>
      <x:c r="F7" s="32" t="str">
        <x:v>触发正确；视频提示词排除了背景配乐</x:v>
      </x:c>
    </x:row>
    <x:row r="8" ht="58" customHeight="1">
      <x:c r="A8" s="33" t="str">
        <x:v>角卤视频</x:v>
      </x:c>
      <x:c r="B8" s="33" t="str">
        <x:v>short-video-jiaolu-food</x:v>
      </x:c>
      <x:c r="C8" s="33" t="str">
        <x:v>生成一条12秒角卤视频，使用模板默认酸辣鸡丝、门店排队和虚构成年女性进食三镜头。</x:v>
      </x:c>
      <x:c r="D8" s="34" t="n">
        <x:v>3</x:v>
      </x:c>
      <x:c r="E8" s="27" t="str">
        <x:v>通过</x:v>
      </x:c>
      <x:c r="F8" s="36" t="str">
        <x:v>触发正确；存在城市扩写</x:v>
      </x:c>
    </x:row>
    <x:row r="9" ht="58" customHeight="1">
      <x:c r="A9" s="29" t="str">
        <x:v>神灯视频</x:v>
      </x:c>
      <x:c r="B9" s="29" t="str">
        <x:v>short-video-magic-lamp</x:v>
      </x:c>
      <x:c r="C9" s="29" t="str">
        <x:v>生成一条12秒沙漠神灯视频，使用模板默认发现、挖掘擦拭、蓝烟灯神现身三镜头。</x:v>
      </x:c>
      <x:c r="D9" s="30" t="n">
        <x:v>3</x:v>
      </x:c>
      <x:c r="E9" s="27" t="str">
        <x:v>通过</x:v>
      </x:c>
      <x:c r="F9" s="32" t="str">
        <x:v>人物国籍与地点发生关键漂移</x:v>
      </x:c>
    </x:row>
    <x:row r="10" ht="58" customHeight="1">
      <x:c r="A10" s="33" t="str">
        <x:v>手持直播效果</x:v>
      </x:c>
      <x:c r="B10" s="33" t="str">
        <x:v>short-video-handheld-dv-vlog</x:v>
      </x:c>
      <x:c r="C10" s="33" t="str">
        <x:v>生成一条15秒手持MiniDV后台vlog，使用模板默认23岁韩国成年女性、对白和真实自拍效果。</x:v>
      </x:c>
      <x:c r="D10" s="34" t="n">
        <x:v>1</x:v>
      </x:c>
      <x:c r="E10" s="27" t="str">
        <x:v>通过</x:v>
      </x:c>
      <x:c r="F10" s="36" t="str">
        <x:v>对白被改写，场景被扩写</x:v>
      </x:c>
    </x:row>
    <x:row r="11" ht="58" customHeight="1">
      <x:c r="A11" s="29" t="str">
        <x:v>电影效果</x:v>
      </x:c>
      <x:c r="B11" s="29" t="str">
        <x:v>short-video-film-look</x:v>
      </x:c>
      <x:c r="C11" s="29" t="str">
        <x:v>生成一条20秒写实电影质感短片，使用模板默认西域沙漠部落五镜头、35mm暖灰色调和环境音效，无背景音乐。</x:v>
      </x:c>
      <x:c r="D11" s="30" t="n">
        <x:v>5</x:v>
      </x:c>
      <x:c r="E11" s="27" t="str">
        <x:v>通过</x:v>
      </x:c>
      <x:c r="F11" s="32" t="str">
        <x:v>人物族群约束被弱化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a5d8dfb3a1c4c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2" hidden="0" customWidth="1"/>
    <x:col min="4" max="4" width="14" hidden="0" customWidth="1"/>
    <x:col min="5" max="5" width="110" hidden="0" customWidth="1"/>
  </x:cols>
  <x:sheetData>
    <x:row r="1" ht="30" customHeight="1">
      <x:c r="A1" s="3" t="str">
        <x:v>最终提示词明细</x:v>
      </x:c>
      <x:c r="B1" s="3" t="str">
        <x:v>最终提示词明细</x:v>
      </x:c>
      <x:c r="C1" s="3" t="str">
        <x:v>最终提示词明细</x:v>
      </x:c>
      <x:c r="D1" s="3" t="str">
        <x:v>最终提示词明细</x:v>
      </x:c>
      <x:c r="E1" s="3" t="str">
        <x:v>最终提示词明细</x:v>
      </x:c>
    </x:row>
    <x:row r="2" ht="24" customHeight="1">
      <x:c r="A2" s="6" t="str">
        <x:v>每一行对应一个即将提交给视频模型的镜头提示词；共20条。可按模板或镜头序号筛选。</x:v>
      </x:c>
      <x:c r="B2" s="6" t="str">
        <x:v>每一行对应一个即将提交给视频模型的镜头提示词；共20条。可按模板或镜头序号筛选。</x:v>
      </x:c>
      <x:c r="C2" s="6" t="str">
        <x:v>每一行对应一个即将提交给视频模型的镜头提示词；共20条。可按模板或镜头序号筛选。</x:v>
      </x:c>
      <x:c r="D2" s="6" t="str">
        <x:v>每一行对应一个即将提交给视频模型的镜头提示词；共20条。可按模板或镜头序号筛选。</x:v>
      </x:c>
      <x:c r="E2" s="6" t="str">
        <x:v>每一行对应一个即将提交给视频模型的镜头提示词；共20条。可按模板或镜头序号筛选。</x:v>
      </x:c>
    </x:row>
    <x:row r="4" ht="28" customHeight="1">
      <x:c r="A4" s="24" t="str">
        <x:v>模板</x:v>
      </x:c>
      <x:c r="B4" s="24" t="str">
        <x:v>触发 Skill</x:v>
      </x:c>
      <x:c r="C4" s="24" t="str">
        <x:v>镜头序号</x:v>
      </x:c>
      <x:c r="D4" s="24" t="str">
        <x:v>资产类型</x:v>
      </x:c>
      <x:c r="E4" s="24" t="str">
        <x:v>最终提示词</x:v>
      </x:c>
    </x:row>
    <x:row r="5" ht="112" customHeight="1">
      <x:c r="A5" s="29" t="str">
        <x:v>电商模特换装</x:v>
      </x:c>
      <x:c r="B5" s="29" t="str">
        <x:v>short-video-fashion-outfit-change</x:v>
      </x:c>
      <x:c r="C5" s="30" t="n">
        <x:v>1</x:v>
      </x:c>
      <x:c r="D5" s="29" t="str">
        <x:v>video</x:v>
      </x:c>
      <x:c r="E5" s="32" t="str">
        <x:v>模板默认模特，23岁成年女性，面部与体态稳定，确保动作和服装无畸变、无布料拉伸、无遮挡；全身正面镜头，快速推进连续长镜头；模特以自然转身展示第一套造型（由侧向正面自然转身并略作停顿，衣摆与细节清晰可见）；上海浦东区高端酒店套房内景，前左方柔和主光，室内现代软装与中文指示牌可见，保持一贯酒店几何；展现服装全身轮廓、面料光泽、领口、袖口、印花位置与闭合方式，细节无遮挡；抖音快节奏电商陈列风格，色彩干净，背景轻微虚化，动作节奏利落；逐镜生成对白、旁白、环境声和同步音效，不生成背景配乐。酒店环境声，无背景配乐。一个连续镜头，适合裁切为4秒。</x:v>
      </x:c>
    </x:row>
    <x:row r="6" ht="112" customHeight="1">
      <x:c r="A6" s="33" t="str">
        <x:v>电商模特换装</x:v>
      </x:c>
      <x:c r="B6" s="33" t="str">
        <x:v>short-video-fashion-outfit-change</x:v>
      </x:c>
      <x:c r="C6" s="34" t="n">
        <x:v>2</x:v>
      </x:c>
      <x:c r="D6" s="33" t="str">
        <x:v>video</x:v>
      </x:c>
      <x:c r="E6" s="36" t="str">
        <x:v>模板默认模特，23岁成年女性，面部与体态稳定，确保动作和服装无畸变、无布料拉伸、无遮挡；三分之二至全身镜头，快速拉远连续长镜头；模特以自然转身展示第二套造型（由近景侧面转至正面并短步后退展现下摆与剪裁）；上海浦东区高端酒店套房内景，前左方柔和主光，背景可见中文室内导示与窗外城市轮廓，保持酒店一致性；展示衣服的轮廓、面料纹理、领口与袖口细节，纽扣或拉链闭合方式清晰；抖音快节奏电商陈列风格，节奏紧凑，画面易于快速剪辑；逐镜生成对白、旁白、环境声和同步音效，不生成背景配乐。酒店环境声，无背景配乐。一个连续镜头，适合裁切为4秒。</x:v>
      </x:c>
    </x:row>
    <x:row r="7" ht="112" customHeight="1">
      <x:c r="A7" s="29" t="str">
        <x:v>电商模特换装</x:v>
      </x:c>
      <x:c r="B7" s="29" t="str">
        <x:v>short-video-fashion-outfit-change</x:v>
      </x:c>
      <x:c r="C7" s="30" t="n">
        <x:v>3</x:v>
      </x:c>
      <x:c r="D7" s="29" t="str">
        <x:v>video</x:v>
      </x:c>
      <x:c r="E7" s="32" t="str">
        <x:v>模板默认模特，23岁成年女性，面部与体态稳定，确保动作和服装无畸变、无布料拉伸、无遮挡；全身跟随镜头，连续长镜头，跟随移动保持模特全身在画面内；模特以自然转身并向前短步展示第三套造型（侧转到前方并略微侧身展示细节），动作平稳以突出面料飘逸与剪裁；上海浦东区高端酒店套房内景，前左方柔和主光，室内现代软装一致，中文标识与窗帘质地可见；确保衣物的整体廓形、面料纹理、口袋和袖口细节可辨；抖音快节奏电商展示风格，画面利落、节拍感强；逐镜生成对白、旁白、环境声和同步音效，不生成背景配乐。酒店环境声，无背景配乐。一个连续镜头，适合裁切为4秒。</x:v>
      </x:c>
    </x:row>
    <x:row r="8" ht="112" customHeight="1">
      <x:c r="A8" s="33" t="str">
        <x:v>电商模特换装</x:v>
      </x:c>
      <x:c r="B8" s="33" t="str">
        <x:v>short-video-fashion-outfit-change</x:v>
      </x:c>
      <x:c r="C8" s="34" t="n">
        <x:v>4</x:v>
      </x:c>
      <x:c r="D8" s="33" t="str">
        <x:v>video</x:v>
      </x:c>
      <x:c r="E8" s="36" t="str">
        <x:v>模板默认模特，23岁成年女性，面部与体态稳定，确保动作和服装无畸变、无布料拉伸、无遮挡；全身正面镜头，快速推进至定格收束连续长镜头；模特以自然转身并收束动作展示第四套造型（完成转身后摆出收束定格姿势，以凸显整体造型完成度）；上海浦东区高端酒店套房内景，前左方柔和主光，室内统一风格与中文装饰细节；凸显服装收尾细节、面料垂感、领口与配饰位置；抖音快节奏电商陈列与收束表现，画面适合形成结尾封面帧；逐镜生成对白、旁白、环境声和同步音效，不生成背景配乐。酒店环境声，无背景配乐。一个连续镜头，适合裁切为4秒。</x:v>
      </x:c>
    </x:row>
    <x:row r="9" ht="112" customHeight="1">
      <x:c r="A9" s="29" t="str">
        <x:v>口播视频</x:v>
      </x:c>
      <x:c r="B9" s="29" t="str">
        <x:v>short-video-talking-head</x:v>
      </x:c>
      <x:c r="C9" s="30" t="n">
        <x:v>1</x:v>
      </x:c>
      <x:c r="D9" s="29" t="str">
        <x:v>video</x:v>
      </x:c>
      <x:c r="E9" s="32" t="str">
        <x:v>地点：上海市中心现代写字楼内的办公室，室内可见城市天际线轮廓以保持地区性但不指名具体地标。演员：一位约25岁的中国女性职业人士，面向镜头正面口播，半身中近景（胸肩以上），保持同一身份、发型、服装和坐姿贯穿全片。构图与背景：正面中近景，背景为轻微虚化的书架与整洁办公桌，留出画面下方安全区域以便后期放置信息卡。服装与道具：低饱和商务休闲服饰，简单首饰，无显著品牌或商标，办公桌上仅有常见办公用品（笔记本、笔架、手机静置）。灯光：温暖白色正面柔光，无明显面部阴影，整体色温自然，保持面部均匀曝光。表情与动作：温暖开场微笑，语速自然、情感亲切，手势节制，不遮挡嘴部，保持清晰口型以保证精准唇形同步；自然眨眼与呼吸。摄影指导：固定摄位，中近景构图，摄影机做一处“轻微慢推”以增强动态感（慢推幅度很小，整段持续），不切镜头，不改变镜头高度或光线方向。技术与时长：连续拍摄15秒，镜头全程可用于生成单段正面口播视频。音频指示（必须在生成中保留并与画面对应）：包含同步对白与办公室环境声（如轻微的键盘声、空调低噪、轻微房间回响），遵循统一处理：逐镜生成对白、旁白、环境声和同步音效，不生成背景配乐；本场景明确不包含任何背景音乐或配乐。模型与交付：为doubao-seedance-2.0模型准备的生成提示，生成可编辑的干净对白轨（供后期降噪/混音），避免面部或手部形变、唇形漂移、背景变形、对焦或曝光跳变，保留镜头下的自然细节与可编辑素材。</x:v>
      </x:c>
    </x:row>
    <x:row r="10" ht="112" customHeight="1">
      <x:c r="A10" s="33" t="str">
        <x:v>探店视频</x:v>
      </x:c>
      <x:c r="B10" s="33" t="str">
        <x:v>short-video-store-visit</x:v>
      </x:c>
      <x:c r="C10" s="34" t="n">
        <x:v>1</x:v>
      </x:c>
      <x:c r="D10" s="33" t="str">
        <x:v>video</x:v>
      </x:c>
      <x:c r="E10" s="36" t="str">
        <x:v>地点：中国·上海市静安区，店名“老街小食铺”，画面可见中文门头招牌“老街小食铺”。用途：从门口推进展示门店环境。镜头与动作：广角到中景，单镜连续推进（推进移动，持续4秒），从街道前景推进穿过门口进入店内，展示木质柜台、明亮瓷砖墙面、点餐窗口、悬挂中文价目表与手写小黑板。可见人物与服饰：店员身着深蓝色围裙在柜台后活动，路人稀少且不进入画面中心。可见道具：收银机、菜单黑板、桌椅、布置整齐的调味瓶。连续性与限制：招牌、柜台布局、店员服饰在后续镜头中保持一致；不得出现重复人物、招牌文字变化或不合逻辑的空间跳切；避免食物或道具变形。音频指示：逐镜生成对白、旁白、环境声和同步音效，不生成背景配乐或配乐。场景音（合并共享指令）：门店环境声与中文旁白（旁白简短介绍店铺与招牌），无背景配乐。额外要求：不生成字幕。</x:v>
      </x:c>
    </x:row>
    <x:row r="11" ht="112" customHeight="1">
      <x:c r="A11" s="29" t="str">
        <x:v>探店视频</x:v>
      </x:c>
      <x:c r="B11" s="29" t="str">
        <x:v>short-video-store-visit</x:v>
      </x:c>
      <x:c r="C11" s="30" t="n">
        <x:v>2</x:v>
      </x:c>
      <x:c r="D11" s="29" t="str">
        <x:v>video</x:v>
      </x:c>
      <x:c r="E11" s="32" t="str">
        <x:v>地点与店铺延续：上海市静安区“老街小食铺”，室内装饰与招牌保持一致。用途：展示冰箱中的新鲜食材。镜头与动作：中近景到特写，平移镜头（从左向右平移，持续4秒），打开玻璃冷藏柜，逐格展示摆放整齐的新鲜食材：当季蔬菜、海鲜与透明保鲜盒内的准备食材，细节可见冰霜与水珠。动作顺序：工作人员戴手套从冰箱取出一盒食材并短暂停留展示后放回，避免食材被挤压或变形。可见道具与标识：冰箱顶部或侧面贴有中文标签小条幅与价格标签，照明为冷白光。连续性与限制：冰箱位置、标签文本与食材类型应与店铺设定一致；不得出现不现实的冰箱几何、食材融合或复制错误。音频指示：逐镜生成对白、旁白、环境声和同步音效，不生成背景配乐或配乐。场景音（合并共享指令）：冰箱开启声与食材环境声（如塑料盒摩擦、冰霜滴落声），无背景配乐。额外要求：不生成字幕。</x:v>
      </x:c>
    </x:row>
    <x:row r="12" ht="112" customHeight="1">
      <x:c r="A12" s="33" t="str">
        <x:v>探店视频</x:v>
      </x:c>
      <x:c r="B12" s="33" t="str">
        <x:v>short-video-store-visit</x:v>
      </x:c>
      <x:c r="C12" s="34" t="n">
        <x:v>3</x:v>
      </x:c>
      <x:c r="D12" s="33" t="str">
        <x:v>video</x:v>
      </x:c>
      <x:c r="E12" s="36" t="str">
        <x:v>地点与店铺延续：上海市静安区“老街小食铺”的用餐区，空间与前两镜保持连续关系。用途：成年情侣品尝美食并自然表达“好吃”。镜头与动作：中景固定机位（稳定的餐桌高度视角，持续4秒），画面中心为一对成年情侣（年龄约25–35岁，现代休闲装），一人用筷子夹起一口食物送入口中，咀嚼并自然微笑、低声说出“好吃”。动作顺序：夹取→咬一口→自然反应→相视微笑。道具与连续性：餐具为筷子与瓷碗，桌面摆放一致，人物服装与发型在镜头间保持一致；确保人物均为成年人，表情自然、不夸张。音频指示：逐镜生成对白、旁白、环境声和同步音效，不生成背景配乐或配乐。场景音（合并共享指令）：进食音效（咀嚼声、碗筷轻触）与中文旁白（简短品尝感受），无背景配乐。额外要求：不生成字幕。</x:v>
      </x:c>
    </x:row>
    <x:row r="13" ht="112" customHeight="1">
      <x:c r="A13" s="29" t="str">
        <x:v>角卤视频</x:v>
      </x:c>
      <x:c r="B13" s="29" t="str">
        <x:v>short-video-jiaolu-food</x:v>
      </x:c>
      <x:c r="C13" s="30" t="n">
        <x:v>1</x:v>
      </x:c>
      <x:c r="D13" s="29" t="str">
        <x:v>video</x:v>
      </x:c>
      <x:c r="E13" s="32" t="str">
        <x:v>地点：成都市（虚构门店）内景近拍，门店品牌标识为中文“角卤熟食”在背景可见。画面主体：固定微距镜头，稳定无抖动，筷子夹起一份酸辣鸡丝的微距特写，鸡丝呈丝状，带有红环椒碎、紫色洋葱碎与黄色柠檬片，置于反光不锈钢碗中，汁液微亮。筷子为天然木制，避免筷子与食物融合或形变；食物质感真实，高细节。构图：浅景深，主体清晰、背景轻微虚化；暖色灯光，强调油亮质感和香辣视觉细节。动作：单一连续动作——筷子夹起并缓慢抬起至画面上方，动作流畅、无重影。样式与技术指令：高细节、真实质感、暖色调、固定微距镜头、避免食物变形或色彩失真。音频方向：逐镜生成对白、旁白、环境声和同步音效，不生成背景配乐。场景音：食物与餐具音效，清晰筷子摩擦与碗壁声；无背景配乐/无配乐。</x:v>
      </x:c>
    </x:row>
    <x:row r="14" ht="112" customHeight="1">
      <x:c r="A14" s="33" t="str">
        <x:v>角卤视频</x:v>
      </x:c>
      <x:c r="B14" s="33" t="str">
        <x:v>short-video-jiaolu-food</x:v>
      </x:c>
      <x:c r="C14" s="34" t="n">
        <x:v>2</x:v>
      </x:c>
      <x:c r="D14" s="33" t="str">
        <x:v>video</x:v>
      </x:c>
      <x:c r="E14" s="36" t="str">
        <x:v>地点：成都市繁忙商圈街道外景，画面中为虚构“角卤熟食”门店外立面与中文招牌“角卤熟食”，橱窗贴有菜品海报（酸辣鸡丝）。画面主体：电影级平移（横向平移），从左向右缓慢横移穿过排队人群，展示门店外队列长度。人物：生成为非可识别的成年人（不同面孔、日常着装），保持自然队列密度、避免重复面孔和群组复制。建筑与街景：本地城市建筑风貌、路牌与中文街道标识，车辆为常见城市小车，整体区域风格与四川城市特征相容。构图与光线：日间自然光，色彩真实，动态范围平衡。动作：一个连贯平移动作，镜头稳定并保持对人群与招牌的可读性。样式与技术指令：电影级平移、高动态范围、真实人群、中文街道标牌、稳健跟焦。音频方向：逐镜生成对白、旁白、环境声和同步音效，不生成背景配乐。场景音：街道与排队环境声（说话声、脚步声、轻微车辆噪声）；无背景配乐/无配乐。</x:v>
      </x:c>
    </x:row>
    <x:row r="15" ht="112" customHeight="1">
      <x:c r="A15" s="29" t="str">
        <x:v>角卤视频</x:v>
      </x:c>
      <x:c r="B15" s="29" t="str">
        <x:v>short-video-jiaolu-food</x:v>
      </x:c>
      <x:c r="C15" s="30" t="n">
        <x:v>3</x:v>
      </x:c>
      <x:c r="D15" s="29" t="str">
        <x:v>video</x:v>
      </x:c>
      <x:c r="E15" s="32" t="str">
        <x:v>地点：成都市“角卤熟食”门店内中景，桌上为不锈钢碗装酸辣鸡丝（红环椒、紫洋葱、柠檬片明确可见）。画面主体：固定中景镜头，一位虚构的成年年轻女性就坐在折叠营地椅上（普通休闲服），为非可识别身份的人物。动作：她用筷子夹起鸡丝并一口咬下，咀嚼与享受的连续动作清晰、自然，避免身体或食物畸变。表情自然但不可识别为真实人物，禁止名人或可识别肖像。光线：门店明亮暖光，突出食物色泽与口腔音效。构图与细节：中景稳定取景，桌面有餐巾与不锈钢碗，食物质感高细节，避免重复背景人物。样式与技术指令：固定中景、食物口腔音清晰、自然表情、真实材料质感。音频方向：逐镜生成对白、旁白、环境声和同步音效，不生成背景配乐。场景音：进食声与明亮门店环境声（轻微交谈与背景门店动线声）；无背景配乐/无配乐。</x:v>
      </x:c>
    </x:row>
    <x:row r="16" ht="112" customHeight="1">
      <x:c r="A16" s="33" t="str">
        <x:v>神灯视频</x:v>
      </x:c>
      <x:c r="B16" s="33" t="str">
        <x:v>short-video-magic-lamp</x:v>
      </x:c>
      <x:c r="C16" s="34" t="n">
        <x:v>1</x:v>
      </x:c>
      <x:c r="D16" s="33" t="str">
        <x:v>video</x:v>
      </x:c>
      <x:c r="E16" s="36" t="str">
        <x:v>目标模型：doubao-seedance-2.0；地点：内蒙古·阿拉善沙漠。镜头说明：推进（慢推），单镜头连续动作，时长4秒，16:9。画面：成年汉族男性（约30-40岁，实用沙漠行装：浅色长袖衬衫、围巾、布鞋）沿金色砂丘行走，镜头推进至半埋的古铜色神灯（扁长形、表面有沙尘和轻微花纹），相机从人物背侧略偏右推进，停在灯嘴与人物视线连线处，保留清晰脚印与风吹起的细沙薄雾。风格：写实电影感、暖金色逆光、浅景深、细节可见铜绿与刻纹。动作链：注意→靠近→发现（发现为镜头结束点）。音频方向：逐镜生成对白、旁白、环境声和同步音效，不生成背景配乐或配乐。场景音（需合成）：脚步与风沙声；无背景配乐/无配乐。注意连续性：与后续镜头保持光线与灯的相对位置一致；勿在本镜头中提前显示烟或神灵实体。</x:v>
      </x:c>
    </x:row>
    <x:row r="17" ht="112" customHeight="1">
      <x:c r="A17" s="29" t="str">
        <x:v>神灯视频</x:v>
      </x:c>
      <x:c r="B17" s="29" t="str">
        <x:v>short-video-magic-lamp</x:v>
      </x:c>
      <x:c r="C17" s="30" t="n">
        <x:v>2</x:v>
      </x:c>
      <x:c r="D17" s="29" t="str">
        <x:v>video</x:v>
      </x:c>
      <x:c r="E17" s="32" t="str">
        <x:v>目标模型：doubao-seedance-2.0；地点：内蒙古·阿拉善沙漠。镜头说明：过肩推进（近景手部/上半身），单镜头连续动作，时长4秒，16:9。画面：同一名成年汉族男性，从过肩视角靠近古铜神灯，用双手挖出并将灯提起，随后用袖口或布料擦拭壶身，壶口开始冒蓝色薄烟（烟量初起、呈丝状向右上方蔓延且不完全遮挡人物），灯表面细节与沙粒随动作掉落。动作链：挖→提→擦→烟雾开始（本镜头以烟雾初起作收尾）。风格：写实、触感强，手部皮肤纹理与灯面沙粒细节清晰。音频方向：逐镜生成对白、旁白、环境声和同步音效，不生成背景配乐或配乐。场景音（需合成）：刨沙、擦拭与烟雾音效；无背景配乐/无配乐。注意：保持与镜头1灯与阳光方向一致，烟的颜色与走向为后续镜头连续线索。</x:v>
      </x:c>
    </x:row>
    <x:row r="18" ht="112" customHeight="1">
      <x:c r="A18" s="33" t="str">
        <x:v>神灯视频</x:v>
      </x:c>
      <x:c r="B18" s="33" t="str">
        <x:v>short-video-magic-lamp</x:v>
      </x:c>
      <x:c r="C18" s="34" t="n">
        <x:v>3</x:v>
      </x:c>
      <x:c r="D18" s="33" t="str">
        <x:v>video</x:v>
      </x:c>
      <x:c r="E18" s="36" t="str">
        <x:v>目标模型：doubao-seedance-2.0；地点：内蒙古·阿拉善沙漠。镜头说明：低位固定（牛仔高度，从三名成年人身后），单镜头连续动作，时长4秒，16:9。画面：三名成年人（包含先前发现者，均为成年汉族成年人）并排面向神灯与升起的蓝烟，镜头位于背后低位，捕捉烟雾在前景的流动与人物的即时反应（惊讶、后退或抬头）。灯神在蓝烟中逐步物化、呈现模糊轮廓与逐渐清晰的体态，但在本镜头结束前不得完全显现为完全清晰的人形；保留神秘感与因果连贯性。光线与色彩应与前两镜头保持一致，烟雾纹理连续。动作链：烟雾扩大→神灵逐渐显现→人物惊讶反应（以反应声与表情收尾）。音频方向：逐镜生成对白、旁白、环境声和同步音效，不生成背景配乐或配乐。场景音（需合成）：烟雾与惊讶反应声（低声惊呼、吸气声等）；无背景配乐/无配乐。注意：避免提前完整显示灯神的面部或特征，防止道具或人物穿插错误。</x:v>
      </x:c>
    </x:row>
    <x:row r="19" ht="112" customHeight="1">
      <x:c r="A19" s="29" t="str">
        <x:v>手持直播效果</x:v>
      </x:c>
      <x:c r="B19" s="29" t="str">
        <x:v>short-video-handheld-dv-vlog</x:v>
      </x:c>
      <x:c r="C19" s="30" t="n">
        <x:v>1</x:v>
      </x:c>
      <x:c r="D19" s="29" t="str">
        <x:v>video</x:v>
      </x:c>
      <x:c r="E19" s="32" t="str">
        <x:v>首选模型：doubao-seedance-2.0；场景位置：上海某演出场馆后台走廊与化妆间外镜子（内景，舞台溢光、夕刻或夜间演出氛围）；人物与身份：23岁韩国成年女性，独自拍摄，持MiniDV摄像机，第一人称手持自拍视角；动作序列（连续单镜头、总时长约15秒）：摄像机在行走中无意启动，初始只捕捉到半张脸，她察觉后轻笑并说台词，边走边口述通过后台走廊，镜头在化妆镜前短暂停留，她用一只手调整闪亮耳环，注意到手在微颤并低声自语。台词（需逐字同步）：“啊，抱歉……还有大概一分钟就上场了。每次唱这首歌，还是会有点紧张，但也很熟悉。”（镜子前）“我上台前手总是很冷。”；相机与视觉细节：真实MiniDV质感（磁带颗粒感）、略微自动对焦猎焦、轻微曝光呼吸与高光泛光、温暖的DV色彩偏移、可见镜头边缘与握持手指、适度运动模糊与步行引起的构图变化、不要人工大幅稳定或去抖；取景与构图：第一人称高度，半脸与手臂自然进入画面，镜中反射可见面部表情与耳环动作，但不要出现第二摄像师的视角或镜头切换；服装与道具：艺人身着深色演出服，佩戴闪亮耳环，手持MiniDV摄像机，背景可见中文工作证与身着黑色后台工作服的工作人员、墙面中文指示牌（例如“后台通道”），保证场景细节一致于上海地区演出后台；音频指示（必须合并共享方向与本场批准音频）：逐镜生成对白、旁白、环境声和同步音效，不生成背景配乐。并且：同步自然对白与机身麦克风后台环境声，无背景配乐。明确要求：无背景配乐、无配乐、无配乐评分。情感与表演指示：自然、含蓄的紧张感，眨眼、呼吸、微笑与手部微颤可见，嘴唇与对白精准同步，避免美颜或人工主播化；技术交付：16:9，帧率接近MiniDV风格（约29.97fps），输出格式兼容FFmpeg处理，单镜头文件时长≤15秒，保持连续性与拍摄真实性。</x:v>
      </x:c>
    </x:row>
    <x:row r="20" ht="112" customHeight="1">
      <x:c r="A20" s="33" t="str">
        <x:v>电影效果</x:v>
      </x:c>
      <x:c r="B20" s="33" t="str">
        <x:v>short-video-film-look</x:v>
      </x:c>
      <x:c r="C20" s="34" t="n">
        <x:v>1</x:v>
      </x:c>
      <x:c r="D20" s="33" t="str">
        <x:v>video</x:v>
      </x:c>
      <x:c r="E20" s="36" t="str">
        <x:v>地点：中国新疆塔里木盆地一处峡谷崖壁部落（虚构场景，基于中国西域地貌）。画面风格：35mm 写实电影质感，暖灰色调，细微胶片颗粒。时间：黎明薄雾。构图与运动：超宽镜头，极缓慢推进进入峡谷定居点，从赭土色悬崖与岩穴向内推入，远处可见酒红色帐篷、袅袅炊烟与一只站立的骆驼，数名居民稀疏出现。可见服饰与道具：粗毛毡、粗纹布头巾、皮革、绳索、石砌台阶。主要动作：缓慢推进揭示营地与骆驼的清晰关系，骆驼轻微喘息。相机指示：极缓慢推进，硬切到下一镜头。声音合成指令（共享）：逐镜生成对白、旁白、环境声和同步音效，排除背景音乐和配乐；场景专用声：晨风、远处人声与骆驼响鼻。明确：不含背景音乐或配乐。</x:v>
      </x:c>
    </x:row>
    <x:row r="21" ht="112" customHeight="1">
      <x:c r="A21" s="29" t="str">
        <x:v>电影效果</x:v>
      </x:c>
      <x:c r="B21" s="29" t="str">
        <x:v>short-video-film-look</x:v>
      </x:c>
      <x:c r="C21" s="30" t="n">
        <x:v>2</x:v>
      </x:c>
      <x:c r="D21" s="29" t="str">
        <x:v>video</x:v>
      </x:c>
      <x:c r="E21" s="32" t="str">
        <x:v>地点：中国新疆塔里木盆地峡谷部落内院近景。画面风格：35mm 写实电影质感，暖灰色调，低调光与细腻颗粒。构图与运动：固定近景特写，画面集中于一组陶罐和铜壶放在石台上。可见道具细节：手工陶罐釉面细微裂纹，铜壶古朴铜绿，绳索与布片环绕。主要动作：器物随远处低频震颤产生轻微颤动并互相轻碰，产生金属与陶瓷的清脆响声。相机指示：固定，不移动，硬切到下一镜头。声音合成指令（共享）：逐镜生成对白、旁白、环境声和同步音效，排除背景音乐和配乐；场景专用声：器物轻碰、低频震颤与远处低鸣。明确：不含背景音乐或配乐。</x:v>
      </x:c>
    </x:row>
    <x:row r="22" ht="112" customHeight="1">
      <x:c r="A22" s="33" t="str">
        <x:v>电影效果</x:v>
      </x:c>
      <x:c r="B22" s="33" t="str">
        <x:v>short-video-film-look</x:v>
      </x:c>
      <x:c r="C22" s="34" t="n">
        <x:v>3</x:v>
      </x:c>
      <x:c r="D22" s="33" t="str">
        <x:v>video</x:v>
      </x:c>
      <x:c r="E22" s="36" t="str">
        <x:v>地点：中国新疆塔里木盆地峡谷部落的家庭院落中景。画面风格：35mm 写实电影质感，暖灰色调，黎明柔光。构图与运动：固定中近景，聚焦一位年长的村中老妇（虚构人物，着仿传统粗布与头巾），正在揉面或处理食物。主要动作：老妇停下揉面，抬头凝视天空，面部细节显示突出的吸气与紧张。相机指示：固定，不移动，硬切到下一镜头。声音合成指令（共享）：逐镜生成对白、旁白、环境声和同步音效，排除背景音乐和配乐；场景专用声：粗重吸气、面团与器物的震颤声以及背景低鸣。明确：不含背景音乐或配乐。</x:v>
      </x:c>
    </x:row>
    <x:row r="23" ht="112" customHeight="1">
      <x:c r="A23" s="29" t="str">
        <x:v>电影效果</x:v>
      </x:c>
      <x:c r="B23" s="29" t="str">
        <x:v>short-video-film-look</x:v>
      </x:c>
      <x:c r="C23" s="30" t="n">
        <x:v>4</x:v>
      </x:c>
      <x:c r="D23" s="29" t="str">
        <x:v>video</x:v>
      </x:c>
      <x:c r="E23" s="32" t="str">
        <x:v>地点：中国新疆塔里木盆地峡谷部落通道处的中景。画面风格：35mm 写实电影质感，暖灰色调，晨光侧逆光。构图与运动：固定中景，画面含一只骆驼和牵兽的成年少年（虚构人物，着粗布衣袍）。主要动作：骆驼率先察觉异样，侧身嘶鸣并拉紧绳索，少年随后回头反应。相机指示：固定，不移动，硬切到下一镜头。声音合成指令（共享）：逐镜生成对白、旁白、环境声和同步音效，排除背景音乐和配乐；场景专用声：踏蹄、骆驼嘶鸣、绳索摩擦与持续低频低鸣。明确：不含背景音乐或配乐。</x:v>
      </x:c>
    </x:row>
    <x:row r="24" ht="112" customHeight="1">
      <x:c r="A24" s="33" t="str">
        <x:v>电影效果</x:v>
      </x:c>
      <x:c r="B24" s="33" t="str">
        <x:v>short-video-film-look</x:v>
      </x:c>
      <x:c r="C24" s="34" t="n">
        <x:v>5</x:v>
      </x:c>
      <x:c r="D24" s="33" t="str">
        <x:v>video</x:v>
      </x:c>
      <x:c r="E24" s="36" t="str">
        <x:v>地点：中国新疆塔里木盆地峡谷部落晒场中景。画面风格：35mm 写实电影质感，暖灰色调，晨风轻扫。构图与运动：固定中景，画面可见挂着的酒红与赭土色织毯与晾绳，成年妇人（虚构人物）在近景內。主要动作：织毯随地面低频震颤抖动，绳索轻摇，成年妇人抬头望向远方，神情警觉。相机指示：固定，不移动，镜头结束以硬切。声音合成指令（共享）：逐镜生成对白、旁白、环境声和同步音效，排除背景音乐和配乐；場景專用聲：织物摩擦、晾绳振动、震颤与持续低鸣。明确：不含背景音乐或配乐。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8fd03371d243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5" hidden="0" customWidth="1"/>
    <x:col min="4" max="4" width="24" hidden="0" customWidth="1"/>
    <x:col min="5" max="5" width="18" hidden="0" customWidth="1"/>
    <x:col min="6" max="6" width="52" hidden="0" customWidth="1"/>
  </x:cols>
  <x:sheetData>
    <x:row r="1" ht="30" customHeight="1">
      <x:c r="A1" s="3" t="str">
        <x:v>费用与验证</x:v>
      </x:c>
      <x:c r="B1" s="3" t="str">
        <x:v>费用与验证</x:v>
      </x:c>
      <x:c r="C1" s="3" t="str">
        <x:v>费用与验证</x:v>
      </x:c>
      <x:c r="D1" s="3" t="str">
        <x:v>费用与验证</x:v>
      </x:c>
      <x:c r="E1" s="3" t="str">
        <x:v>费用与验证</x:v>
      </x:c>
      <x:c r="F1" s="3" t="str">
        <x:v>费用与验证</x:v>
      </x:c>
    </x:row>
    <x:row r="2" ht="24" customHeight="1">
      <x:c r="A2" s="6" t="str">
        <x:v>预算和验证状态均来自本次实际测试记录；金额单位为美元。</x:v>
      </x:c>
      <x:c r="B2" s="6" t="str">
        <x:v>预算和验证状态均来自本次实际测试记录；金额单位为美元。</x:v>
      </x:c>
      <x:c r="C2" s="6" t="str">
        <x:v>预算和验证状态均来自本次实际测试记录；金额单位为美元。</x:v>
      </x:c>
      <x:c r="D2" s="6" t="str">
        <x:v>预算和验证状态均来自本次实际测试记录；金额单位为美元。</x:v>
      </x:c>
      <x:c r="E2" s="6" t="str">
        <x:v>预算和验证状态均来自本次实际测试记录；金额单位为美元。</x:v>
      </x:c>
      <x:c r="F2" s="6" t="str">
        <x:v>预算和验证状态均来自本次实际测试记录；金额单位为美元。</x:v>
      </x:c>
    </x:row>
    <x:row r="4" ht="28" customHeight="1">
      <x:c r="A4" s="24" t="str">
        <x:v>费用项目</x:v>
      </x:c>
      <x:c r="B4" s="15" t="str">
        <x:v>金额（USD）</x:v>
      </x:c>
      <x:c r="D4" s="24" t="str">
        <x:v>验证项</x:v>
      </x:c>
      <x:c r="E4" s="24" t="str">
        <x:v>结果</x:v>
      </x:c>
      <x:c r="F4" s="15" t="str">
        <x:v>说明</x:v>
      </x:c>
    </x:row>
    <x:row r="5" ht="34" customHeight="1">
      <x:c r="A5" s="40" t="str">
        <x:v>用户总预算</x:v>
      </x:c>
      <x:c r="B5" s="41" t="n">
        <x:v>1</x:v>
      </x:c>
      <x:c r="D5" s="25" t="str">
        <x:v>模板触发</x:v>
      </x:c>
      <x:c r="E5" s="27" t="str">
        <x:v>7/7 通过</x:v>
      </x:c>
      <x:c r="F5" s="28" t="str">
        <x:v>全部命中预期 short-video-* Skill</x:v>
      </x:c>
    </x:row>
    <x:row r="6" ht="34" customHeight="1">
      <x:c r="A6" s="40" t="str">
        <x:v>测试前余额</x:v>
      </x:c>
      <x:c r="B6" s="41" t="n">
        <x:v>37.42321</x:v>
      </x:c>
      <x:c r="D6" s="25" t="str">
        <x:v>生成方式</x:v>
      </x:c>
      <x:c r="E6" s="27" t="str">
        <x:v>通过</x:v>
      </x:c>
      <x:c r="F6" s="28" t="str">
        <x:v>7 个模板均为 two_pass</x:v>
      </x:c>
    </x:row>
    <x:row r="7" ht="34" customHeight="1">
      <x:c r="A7" s="40" t="str">
        <x:v>测试后余额</x:v>
      </x:c>
      <x:c r="B7" s="41" t="n">
        <x:v>36.955986</x:v>
      </x:c>
      <x:c r="D7" s="25" t="str">
        <x:v>结构化校验</x:v>
      </x:c>
      <x:c r="E7" s="27" t="str">
        <x:v>通过</x:v>
      </x:c>
      <x:c r="F7" s="28" t="str">
        <x:v>首次与最终 Schema 校验均通过</x:v>
      </x:c>
    </x:row>
    <x:row r="8" ht="34" customHeight="1">
      <x:c r="A8" s="40" t="str">
        <x:v>实际总消耗</x:v>
      </x:c>
      <x:c r="B8" s="41" t="n">
        <x:f>B6-B7</x:f>
        <x:v>0.46722399999999453</x:v>
      </x:c>
      <x:c r="D8" s="25" t="str">
        <x:v>连通性脚本测试</x:v>
      </x:c>
      <x:c r="E8" s="27" t="str">
        <x:v>21/21 通过</x:v>
      </x:c>
      <x:c r="F8" s="28" t="str">
        <x:v>无失败、取消或跳过</x:v>
      </x:c>
    </x:row>
    <x:row r="9" ht="34" customHeight="1">
      <x:c r="A9" s="40" t="str">
        <x:v>模板批测消耗</x:v>
      </x:c>
      <x:c r="B9" s="41" t="n">
        <x:v>0.114268</x:v>
      </x:c>
      <x:c r="D9" s="25" t="str">
        <x:v>ESLint</x:v>
      </x:c>
      <x:c r="E9" s="27" t="str">
        <x:v>通过</x:v>
      </x:c>
      <x:c r="F9" s="28" t="str">
        <x:v>三个测试脚本无 lint 错误</x:v>
      </x:c>
    </x:row>
    <x:row r="10" ht="34" customHeight="1">
      <x:c r="A10" s="40" t="str">
        <x:v>预算剩余</x:v>
      </x:c>
      <x:c r="B10" s="41" t="n">
        <x:f>B5-B8</x:f>
        <x:v>0.5327760000000055</x:v>
      </x:c>
      <x:c r="D10" s="25" t="str">
        <x:v>媒体生成</x:v>
      </x:c>
      <x:c r="E10" s="45" t="str">
        <x:v>未执行</x:v>
      </x:c>
      <x:c r="F10" s="28" t="str">
        <x:v>未生成或入队图片、音乐、音频、视频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58" hidden="0" customWidth="1"/>
    <x:col min="4" max="4" width="58" hidden="0" customWidth="1"/>
  </x:cols>
  <x:sheetData>
    <x:row r="1" ht="30" customHeight="1">
      <x:c r="A1" s="3" t="str">
        <x:v>提示词漂移与改进建议</x:v>
      </x:c>
      <x:c r="B1" s="3" t="str">
        <x:v>提示词漂移与改进建议</x:v>
      </x:c>
      <x:c r="C1" s="3" t="str">
        <x:v>提示词漂移与改进建议</x:v>
      </x:c>
      <x:c r="D1" s="3" t="str">
        <x:v>提示词漂移与改进建议</x:v>
      </x:c>
    </x:row>
    <x:row r="2" ht="24" customHeight="1">
      <x:c r="A2" s="6" t="str">
        <x:v>模板触发正确，但模型生成内容存在默认值丢失、无依据扩写或占位符未展开等问题。</x:v>
      </x:c>
      <x:c r="B2" s="6" t="str">
        <x:v>模板触发正确，但模型生成内容存在默认值丢失、无依据扩写或占位符未展开等问题。</x:v>
      </x:c>
      <x:c r="C2" s="6" t="str">
        <x:v>模板触发正确，但模型生成内容存在默认值丢失、无依据扩写或占位符未展开等问题。</x:v>
      </x:c>
      <x:c r="D2" s="6" t="str">
        <x:v>模板触发正确，但模型生成内容存在默认值丢失、无依据扩写或占位符未展开等问题。</x:v>
      </x:c>
    </x:row>
    <x:row r="4" ht="28" customHeight="1">
      <x:c r="A4" s="24" t="str">
        <x:v>模板</x:v>
      </x:c>
      <x:c r="B4" s="24" t="str">
        <x:v>严重度</x:v>
      </x:c>
      <x:c r="C4" s="24" t="str">
        <x:v>发现</x:v>
      </x:c>
      <x:c r="D4" s="24" t="str">
        <x:v>建议</x:v>
      </x:c>
    </x:row>
    <x:row r="5" ht="66" customHeight="1">
      <x:c r="A5" s="29" t="str">
        <x:v>电商模特换装</x:v>
      </x:c>
      <x:c r="B5" s="29" t="str">
        <x:v>中</x:v>
      </x:c>
      <x:c r="C5" s="29" t="str">
        <x:v>擅自增加“上海浦东区”、中文指示牌等未要求的地域信息。</x:v>
      </x:c>
      <x:c r="D5" s="32" t="str">
        <x:v>模板默认值应完整展开，但不应补充未提供的城市或文字标识。</x:v>
      </x:c>
    </x:row>
    <x:row r="6" ht="66" customHeight="1">
      <x:c r="A6" s="33" t="str">
        <x:v>口播视频</x:v>
      </x:c>
      <x:c r="B6" s="33" t="str">
        <x:v>低</x:v>
      </x:c>
      <x:c r="C6" s="33" t="str">
        <x:v>擅自把办公室定位为上海市中心。</x:v>
      </x:c>
      <x:c r="D6" s="36" t="str">
        <x:v>未指定地点时保持通用办公室，不写具体城市。</x:v>
      </x:c>
    </x:row>
    <x:row r="7" ht="66" customHeight="1">
      <x:c r="A7" s="29" t="str">
        <x:v>探店视频</x:v>
      </x:c>
      <x:c r="B7" s="29" t="str">
        <x:v>高</x:v>
      </x:c>
      <x:c r="C7" s="29" t="str">
        <x:v>擅自创建“上海静安区老街小食铺”，最终视频提示词还排除了初始要求的背景音乐。</x:v>
      </x:c>
      <x:c r="D7" s="32" t="str">
        <x:v>明确区分视频原声与独立配乐资产，并保持用户音频要求。</x:v>
      </x:c>
    </x:row>
    <x:row r="8" ht="66" customHeight="1">
      <x:c r="A8" s="33" t="str">
        <x:v>角卤视频</x:v>
      </x:c>
      <x:c r="B8" s="33" t="str">
        <x:v>中</x:v>
      </x:c>
      <x:c r="C8" s="33" t="str">
        <x:v>擅自把虚构门店定位为成都。</x:v>
      </x:c>
      <x:c r="D8" s="36" t="str">
        <x:v>保留品牌和镜头结构，不补充城市。</x:v>
      </x:c>
    </x:row>
    <x:row r="9" ht="66" customHeight="1">
      <x:c r="A9" s="29" t="str">
        <x:v>神灯视频</x:v>
      </x:c>
      <x:c r="B9" s="29" t="str">
        <x:v>高</x:v>
      </x:c>
      <x:c r="C9" s="29" t="str">
        <x:v>印度男子被改为汉族男性，地点被改成内蒙古阿拉善。</x:v>
      </x:c>
      <x:c r="D9" s="32" t="str">
        <x:v>锁定人物身份、国籍与空间默认值，评审阶段禁止语义替换。</x:v>
      </x:c>
    </x:row>
    <x:row r="10" ht="66" customHeight="1">
      <x:c r="A10" s="33" t="str">
        <x:v>手持直播效果</x:v>
      </x:c>
      <x:c r="B10" s="33" t="str">
        <x:v>高</x:v>
      </x:c>
      <x:c r="C10" s="33" t="str">
        <x:v>原始对白被改写和缩短，并增加上海场馆、中文标牌。</x:v>
      </x:c>
      <x:c r="D10" s="36" t="str">
        <x:v>将模板台词作为需要逐字保留的默认内容，除非用户明确覆盖。</x:v>
      </x:c>
    </x:row>
    <x:row r="11" ht="66" customHeight="1">
      <x:c r="A11" s="29" t="str">
        <x:v>电影效果</x:v>
      </x:c>
      <x:c r="B11" s="29" t="str">
        <x:v>高</x:v>
      </x:c>
      <x:c r="C11" s="29" t="str">
        <x:v>Sogdian/Turkic Silk-Road 人物约束被弱化为泛化的新疆部落居民。</x:v>
      </x:c>
      <x:c r="D11" s="32" t="str">
        <x:v>将族群、服饰与色卡锚点设为高优先级不可丢失约束。</x:v>
      </x:c>
    </x:row>
    <x:row r="12" ht="66" customHeight="1">
      <x:c r="A12" s="33" t="str">
        <x:v>通用</x:v>
      </x:c>
      <x:c r="B12" s="33" t="str">
        <x:v>中</x:v>
      </x:c>
      <x:c r="C12" s="33" t="str">
        <x:v>部分提示词仍含“模板默认模特”等未展开占位表达。</x:v>
      </x:c>
      <x:c r="D12" s="36" t="str">
        <x:v>输出到视频模型前执行占位符完整性检查。</x:v>
      </x:c>
    </x:row>
  </x:sheetData>
  <x:mergeCells>
    <x:mergeCell ref="A1:D1"/>
    <x:mergeCell ref="A2:D2"/>
  </x:mergeCells>
  <x:conditionalFormatting sqref="B5:B12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pageMargins left="0.7" right="0.7" top="0.75" bottom="0.75" header="0.3" footer="0.3"/>
  <x:tableParts count="1">
    <x:tablePart xmlns:r="http://schemas.openxmlformats.org/officeDocument/2006/relationships" r:id="Rca1ff2ffc03a4387"/>
  </x:tableParts>
</x:worksheet>
</file>